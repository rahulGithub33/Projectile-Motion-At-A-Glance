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hul\Documents\Custom Office Templates\"/>
    </mc:Choice>
  </mc:AlternateContent>
  <xr:revisionPtr revIDLastSave="0" documentId="8_{B4C87C0A-8207-4BE8-8F39-E66327669EC7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  <sheet name="Sheet3" sheetId="3" r:id="rId2"/>
    <sheet name="Sheet2" sheetId="2" r:id="rId3"/>
  </sheets>
  <functionGroups builtInGroupCount="19"/>
  <definedNames>
    <definedName name="_xlnm._FilterDatabase" localSheetId="0" hidden="1">Sheet1!#REF!</definedName>
    <definedName name="Max_Height" comment="sfdgdsg" localSheetId="0">Sheet1!$B$3</definedName>
    <definedName name="_xlnm.Print_Area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B10" i="1"/>
  <c r="B7" i="1"/>
  <c r="B16" i="1"/>
  <c r="B21" i="1"/>
  <c r="B4" i="1"/>
  <c r="B25" i="1"/>
  <c r="C25" i="1" s="1"/>
  <c r="D10" i="1"/>
  <c r="C21" i="1"/>
  <c r="B5" i="1"/>
  <c r="B14" i="1"/>
  <c r="D14" i="1" s="1"/>
  <c r="C10" i="1"/>
  <c r="B11" i="1"/>
  <c r="B20" i="1"/>
  <c r="D16" i="1"/>
  <c r="B22" i="1"/>
  <c r="D7" i="1"/>
  <c r="B17" i="1"/>
  <c r="D17" i="1" s="1"/>
  <c r="B23" i="1"/>
  <c r="D22" i="1"/>
  <c r="B8" i="1"/>
  <c r="B3" i="1"/>
  <c r="B9" i="1"/>
  <c r="B18" i="1"/>
  <c r="C18" i="1" s="1"/>
  <c r="C14" i="1"/>
  <c r="B15" i="1"/>
  <c r="B24" i="1"/>
  <c r="D21" i="1"/>
  <c r="D18" i="1"/>
  <c r="B13" i="1"/>
  <c r="C13" i="1" s="1"/>
  <c r="B19" i="1"/>
  <c r="D20" i="1"/>
  <c r="C22" i="1"/>
  <c r="D25" i="1"/>
  <c r="C5" i="1"/>
  <c r="D11" i="1"/>
  <c r="C17" i="1"/>
  <c r="D13" i="1"/>
  <c r="B6" i="1"/>
  <c r="B12" i="1"/>
  <c r="D5" i="1"/>
  <c r="D4" i="1"/>
  <c r="D23" i="1"/>
  <c r="D8" i="1"/>
  <c r="D3" i="1"/>
  <c r="D9" i="1"/>
  <c r="C9" i="1"/>
  <c r="D15" i="1"/>
  <c r="D24" i="1"/>
  <c r="D19" i="1"/>
  <c r="C6" i="1"/>
  <c r="D6" i="1"/>
  <c r="D12" i="1"/>
  <c r="A4" i="2" l="1"/>
  <c r="A5" i="2" s="1"/>
  <c r="A6" i="2" s="1"/>
  <c r="A7" i="2" s="1"/>
  <c r="C12" i="1"/>
  <c r="C11" i="1"/>
  <c r="C19" i="1"/>
  <c r="C4" i="1"/>
  <c r="C16" i="1"/>
  <c r="C15" i="1"/>
  <c r="C7" i="1"/>
  <c r="C3" i="1"/>
  <c r="C23" i="1"/>
  <c r="C24" i="1"/>
  <c r="C8" i="1"/>
  <c r="C20" i="1"/>
  <c r="I19" i="1" l="1"/>
  <c r="I18" i="1" l="1"/>
  <c r="J18" i="1"/>
</calcChain>
</file>

<file path=xl/sharedStrings.xml><?xml version="1.0" encoding="utf-8"?>
<sst xmlns="http://schemas.openxmlformats.org/spreadsheetml/2006/main" count="14" uniqueCount="12">
  <si>
    <t xml:space="preserve">Projectile Motion Experiment with launch speed of 6 m/s </t>
  </si>
  <si>
    <t xml:space="preserve">Angle </t>
  </si>
  <si>
    <t xml:space="preserve">Max Height </t>
  </si>
  <si>
    <t xml:space="preserve">Projectile motion, with true velocity of 6 m/s </t>
  </si>
  <si>
    <t>Range</t>
  </si>
  <si>
    <t>Max Height &amp; Range :</t>
  </si>
  <si>
    <t xml:space="preserve">Min Height &amp; Range : </t>
  </si>
  <si>
    <t xml:space="preserve">Time </t>
  </si>
  <si>
    <t>Biggest Range</t>
  </si>
  <si>
    <t xml:space="preserve">Biggest time to land </t>
  </si>
  <si>
    <t>We have reached PI()</t>
  </si>
  <si>
    <t>Biggest Range in the negative direction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</si>
</sst>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44" fontId="0" fillId="0" borderId="0" xfId="1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0" borderId="0" xfId="1" applyNumberFormat="1" applyFont="1"/>
    <xf numFmtId="0" fontId="0" fillId="3" borderId="0" xfId="1" applyNumberFormat="1" applyFont="1" applyFill="1"/>
    <xf numFmtId="0" fontId="0" fillId="0" borderId="0" xfId="0" applyNumberFormat="1"/>
    <xf numFmtId="0" fontId="0" fillId="5" borderId="0" xfId="0" applyFill="1"/>
    <xf numFmtId="0" fontId="0" fillId="5" borderId="0" xfId="0" applyNumberFormat="1" applyFill="1"/>
    <xf numFmtId="0" fontId="0" fillId="5" borderId="0" xfId="1" applyNumberFormat="1" applyFont="1" applyFill="1"/>
    <xf numFmtId="0" fontId="0" fillId="4" borderId="0" xfId="1" applyNumberFormat="1" applyFont="1" applyFill="1"/>
    <xf numFmtId="0" fontId="2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43C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Height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Sheet1!$B$3:$B$19</c:f>
              <c:numCache>
                <c:formatCode>General</c:formatCode>
                <c:ptCount val="17"/>
                <c:pt idx="0">
                  <c:v>0</c:v>
                </c:pt>
                <c:pt idx="1">
                  <c:v>6.9900000000000004E-2</c:v>
                </c:pt>
                <c:pt idx="2">
                  <c:v>0.26889999999999997</c:v>
                </c:pt>
                <c:pt idx="3">
                  <c:v>0.56669999999999998</c:v>
                </c:pt>
                <c:pt idx="4">
                  <c:v>0.91800000000000004</c:v>
                </c:pt>
                <c:pt idx="5">
                  <c:v>1.2694000000000001</c:v>
                </c:pt>
                <c:pt idx="6">
                  <c:v>1.5673999999999999</c:v>
                </c:pt>
                <c:pt idx="7">
                  <c:v>1.7665999999999999</c:v>
                </c:pt>
                <c:pt idx="8">
                  <c:v>1.8367</c:v>
                </c:pt>
                <c:pt idx="9">
                  <c:v>1.7670999999999999</c:v>
                </c:pt>
                <c:pt idx="10">
                  <c:v>1.5684</c:v>
                </c:pt>
                <c:pt idx="11">
                  <c:v>1.2706999999999999</c:v>
                </c:pt>
                <c:pt idx="12">
                  <c:v>0.91949999999999998</c:v>
                </c:pt>
                <c:pt idx="13">
                  <c:v>0.56799999999999995</c:v>
                </c:pt>
                <c:pt idx="14">
                  <c:v>0.26989999999999997</c:v>
                </c:pt>
                <c:pt idx="15">
                  <c:v>7.0400000000000004E-2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8-47AB-8CF6-D656F8D94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1681736"/>
        <c:axId val="5716787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v>Maximum Height</c:v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Sheet1!$B$3:$B$19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0</c:v>
                      </c:pt>
                      <c:pt idx="1">
                        <c:v>6.9900000000000004E-2</c:v>
                      </c:pt>
                      <c:pt idx="2">
                        <c:v>0.26889999999999997</c:v>
                      </c:pt>
                      <c:pt idx="3">
                        <c:v>0.56669999999999998</c:v>
                      </c:pt>
                      <c:pt idx="4">
                        <c:v>0.91800000000000004</c:v>
                      </c:pt>
                      <c:pt idx="5">
                        <c:v>1.2694000000000001</c:v>
                      </c:pt>
                      <c:pt idx="6">
                        <c:v>1.5673999999999999</c:v>
                      </c:pt>
                      <c:pt idx="7">
                        <c:v>1.7665999999999999</c:v>
                      </c:pt>
                      <c:pt idx="8">
                        <c:v>1.8367</c:v>
                      </c:pt>
                      <c:pt idx="9">
                        <c:v>1.7670999999999999</c:v>
                      </c:pt>
                      <c:pt idx="10">
                        <c:v>1.5684</c:v>
                      </c:pt>
                      <c:pt idx="11">
                        <c:v>1.2706999999999999</c:v>
                      </c:pt>
                      <c:pt idx="12">
                        <c:v>0.91949999999999998</c:v>
                      </c:pt>
                      <c:pt idx="13">
                        <c:v>0.56799999999999995</c:v>
                      </c:pt>
                      <c:pt idx="14">
                        <c:v>0.26989999999999997</c:v>
                      </c:pt>
                      <c:pt idx="15">
                        <c:v>7.0400000000000004E-2</c:v>
                      </c:pt>
                      <c:pt idx="1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068-47AB-8CF6-D656F8D94C95}"/>
                  </c:ext>
                </c:extLst>
              </c15:ser>
            </c15:filteredBarSeries>
          </c:ext>
        </c:extLst>
      </c:barChart>
      <c:catAx>
        <c:axId val="571681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78784"/>
        <c:crosses val="autoZero"/>
        <c:auto val="1"/>
        <c:lblAlgn val="ctr"/>
        <c:lblOffset val="100"/>
        <c:noMultiLvlLbl val="0"/>
      </c:catAx>
      <c:valAx>
        <c:axId val="57167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68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233551</xdr:colOff>
      <xdr:row>3</xdr:row>
      <xdr:rowOff>69612</xdr:rowOff>
    </xdr:from>
    <xdr:to>
      <xdr:col>19</xdr:col>
      <xdr:colOff>438069</xdr:colOff>
      <xdr:row>20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68226" y="641112"/>
          <a:ext cx="2033318" cy="3321288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Maximum Height is</a:t>
          </a:r>
          <a:r>
            <a:rPr lang="en-US" sz="1100" baseline="0"/>
            <a:t> at x = 1.570796 or when theta equals PI()/2 radians</a:t>
          </a:r>
        </a:p>
        <a:p>
          <a:endParaRPr lang="en-US" sz="1100" baseline="0"/>
        </a:p>
        <a:p>
          <a:r>
            <a:rPr lang="en-US" sz="1100" baseline="0"/>
            <a:t>I will onyl look at the heights and ranges of projectiles lauched at angles btw 0 and =Pi()</a:t>
          </a:r>
        </a:p>
        <a:p>
          <a:r>
            <a:rPr lang="en-US" sz="1100" baseline="0"/>
            <a:t>range = v*cos(lanuchangle)*t</a:t>
          </a:r>
        </a:p>
        <a:p>
          <a:endParaRPr lang="en-US" sz="1100" baseline="0"/>
        </a:p>
        <a:p>
          <a:r>
            <a:rPr lang="en-US" sz="1100" baseline="0"/>
            <a:t>I need to write a function to find the time, and then call it in find range function </a:t>
          </a:r>
        </a:p>
        <a:p>
          <a:endParaRPr lang="en-US" sz="1100" baseline="0"/>
        </a:p>
        <a:p>
          <a:r>
            <a:rPr lang="en-US" sz="1100" baseline="0"/>
            <a:t>to find time, I need to start from where the projectile reaches max height, where its vertical velocity = 0 m/s</a:t>
          </a:r>
        </a:p>
        <a:p>
          <a:endParaRPr lang="en-US" sz="1100" baseline="0"/>
        </a:p>
        <a:p>
          <a:endParaRPr lang="en-US" sz="1100" baseline="0"/>
        </a:p>
      </xdr:txBody>
    </xdr:sp>
    <xdr:clientData/>
  </xdr:twoCellAnchor>
  <xdr:twoCellAnchor>
    <xdr:from>
      <xdr:col>6</xdr:col>
      <xdr:colOff>57150</xdr:colOff>
      <xdr:row>3</xdr:row>
      <xdr:rowOff>19050</xdr:rowOff>
    </xdr:from>
    <xdr:to>
      <xdr:col>16</xdr:col>
      <xdr:colOff>171450</xdr:colOff>
      <xdr:row>20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D25" totalsRowShown="0">
  <autoFilter ref="A2:D25" xr:uid="{00000000-0009-0000-0100-000001000000}"/>
  <tableColumns count="4">
    <tableColumn id="1" xr3:uid="{00000000-0010-0000-0000-000001000000}" name="Angle " dataDxfId="3"/>
    <tableColumn id="2" xr3:uid="{00000000-0010-0000-0000-000002000000}" name="Max Height " dataDxfId="2">
      <calculatedColumnFormula>ROUND((findVinitialInYaxis(A3,6))^2/19.6, 4)</calculatedColumnFormula>
    </tableColumn>
    <tableColumn id="3" xr3:uid="{00000000-0010-0000-0000-000003000000}" name="Range" dataDxfId="1">
      <calculatedColumnFormula>ROUND(findRange(A3,6,B3), 4)</calculatedColumnFormula>
    </tableColumn>
    <tableColumn id="4" xr3:uid="{00000000-0010-0000-0000-000004000000}" name="Time " dataDxfId="0">
      <calculatedColumnFormula>ROUND(findTimeToLand(B3, A3), 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5"/>
  <sheetViews>
    <sheetView tabSelected="1" topLeftCell="B1" zoomScaleNormal="100" workbookViewId="0">
      <selection activeCell="K3" sqref="K3"/>
    </sheetView>
  </sheetViews>
  <sheetFormatPr defaultRowHeight="14.4" x14ac:dyDescent="0.3"/>
  <cols>
    <col min="1" max="1" width="12" bestFit="1" customWidth="1"/>
    <col min="2" max="2" width="13.88671875" bestFit="1" customWidth="1"/>
    <col min="3" max="3" width="12.6640625" bestFit="1" customWidth="1"/>
    <col min="4" max="4" width="12" style="1" bestFit="1" customWidth="1"/>
    <col min="5" max="5" width="6.88671875" bestFit="1" customWidth="1"/>
    <col min="6" max="6" width="12.109375" bestFit="1" customWidth="1"/>
  </cols>
  <sheetData>
    <row r="1" spans="1:5" x14ac:dyDescent="0.3">
      <c r="A1" s="12" t="s">
        <v>3</v>
      </c>
      <c r="B1" s="12"/>
      <c r="C1" s="12"/>
      <c r="D1" s="12"/>
    </row>
    <row r="2" spans="1:5" x14ac:dyDescent="0.3">
      <c r="A2" t="s">
        <v>1</v>
      </c>
      <c r="B2" t="s">
        <v>2</v>
      </c>
      <c r="C2" t="s">
        <v>4</v>
      </c>
      <c r="D2" s="1" t="s">
        <v>7</v>
      </c>
    </row>
    <row r="3" spans="1:5" x14ac:dyDescent="0.3">
      <c r="A3">
        <v>0</v>
      </c>
      <c r="B3">
        <f t="shared" ref="B3:B25" si="0">ROUND((findVinitialInYaxis(A3,6))^2/19.6, 4)</f>
        <v>0</v>
      </c>
      <c r="C3">
        <f t="shared" ref="C3:C25" si="1">ROUND(findRange(A3,6,B3), 4)</f>
        <v>0</v>
      </c>
      <c r="D3" s="5">
        <f t="shared" ref="D3:D25" si="2">ROUND(findTimeToLand(B3, A3), 4)</f>
        <v>0</v>
      </c>
    </row>
    <row r="4" spans="1:5" x14ac:dyDescent="0.3">
      <c r="A4">
        <f>ROUND((PI()/16) + A3, 4)</f>
        <v>0.1963</v>
      </c>
      <c r="B4">
        <f t="shared" si="0"/>
        <v>6.9900000000000004E-2</v>
      </c>
      <c r="C4">
        <f t="shared" si="1"/>
        <v>4.4005999999999998</v>
      </c>
      <c r="D4" s="5">
        <f t="shared" si="2"/>
        <v>0.74780000000000002</v>
      </c>
    </row>
    <row r="5" spans="1:5" x14ac:dyDescent="0.3">
      <c r="A5">
        <f t="shared" ref="A5:A25" si="3">ROUND((PI()/16) + A4, 4)</f>
        <v>0.3926</v>
      </c>
      <c r="B5">
        <f t="shared" si="0"/>
        <v>0.26889999999999997</v>
      </c>
      <c r="C5">
        <f t="shared" si="1"/>
        <v>8.1305999999999994</v>
      </c>
      <c r="D5" s="5">
        <f t="shared" si="2"/>
        <v>1.4666999999999999</v>
      </c>
    </row>
    <row r="6" spans="1:5" x14ac:dyDescent="0.3">
      <c r="A6">
        <f t="shared" si="3"/>
        <v>0.58889999999999998</v>
      </c>
      <c r="B6">
        <f t="shared" si="0"/>
        <v>0.56669999999999998</v>
      </c>
      <c r="C6">
        <f t="shared" si="1"/>
        <v>10.6234</v>
      </c>
      <c r="D6" s="5">
        <f t="shared" si="2"/>
        <v>2.1292</v>
      </c>
    </row>
    <row r="7" spans="1:5" x14ac:dyDescent="0.3">
      <c r="A7" s="3">
        <f t="shared" si="3"/>
        <v>0.78520000000000001</v>
      </c>
      <c r="B7" s="3">
        <f t="shared" si="0"/>
        <v>0.91800000000000004</v>
      </c>
      <c r="C7" s="3">
        <f t="shared" si="1"/>
        <v>11.4998</v>
      </c>
      <c r="D7" s="11">
        <f t="shared" si="2"/>
        <v>2.71</v>
      </c>
      <c r="E7" t="s">
        <v>8</v>
      </c>
    </row>
    <row r="8" spans="1:5" x14ac:dyDescent="0.3">
      <c r="A8">
        <f t="shared" si="3"/>
        <v>0.98150000000000004</v>
      </c>
      <c r="B8">
        <f t="shared" si="0"/>
        <v>1.2694000000000001</v>
      </c>
      <c r="C8">
        <f t="shared" si="1"/>
        <v>10.6266</v>
      </c>
      <c r="D8" s="5">
        <f t="shared" si="2"/>
        <v>3.1867000000000001</v>
      </c>
    </row>
    <row r="9" spans="1:5" x14ac:dyDescent="0.3">
      <c r="A9">
        <f t="shared" si="3"/>
        <v>1.1778</v>
      </c>
      <c r="B9">
        <f t="shared" si="0"/>
        <v>1.5673999999999999</v>
      </c>
      <c r="C9">
        <f t="shared" si="1"/>
        <v>8.1364999999999998</v>
      </c>
      <c r="D9" s="5">
        <f t="shared" si="2"/>
        <v>3.5411000000000001</v>
      </c>
    </row>
    <row r="10" spans="1:5" x14ac:dyDescent="0.3">
      <c r="A10">
        <f t="shared" si="3"/>
        <v>1.3741000000000001</v>
      </c>
      <c r="B10">
        <f t="shared" si="0"/>
        <v>1.7665999999999999</v>
      </c>
      <c r="C10">
        <f t="shared" si="1"/>
        <v>4.4081999999999999</v>
      </c>
      <c r="D10" s="5">
        <f t="shared" si="2"/>
        <v>3.7593999999999999</v>
      </c>
    </row>
    <row r="11" spans="1:5" x14ac:dyDescent="0.3">
      <c r="A11" s="2">
        <f t="shared" si="3"/>
        <v>1.5704</v>
      </c>
      <c r="B11" s="2">
        <f t="shared" si="0"/>
        <v>1.8367</v>
      </c>
      <c r="C11" s="2">
        <f t="shared" si="1"/>
        <v>9.1000000000000004E-3</v>
      </c>
      <c r="D11" s="6">
        <f t="shared" si="2"/>
        <v>3.8332000000000002</v>
      </c>
      <c r="E11" t="s">
        <v>9</v>
      </c>
    </row>
    <row r="12" spans="1:5" x14ac:dyDescent="0.3">
      <c r="A12">
        <f t="shared" si="3"/>
        <v>1.7666999999999999</v>
      </c>
      <c r="B12">
        <f t="shared" si="0"/>
        <v>1.7670999999999999</v>
      </c>
      <c r="C12">
        <f t="shared" si="1"/>
        <v>-4.3912000000000004</v>
      </c>
      <c r="D12" s="5">
        <f t="shared" si="2"/>
        <v>3.7599</v>
      </c>
    </row>
    <row r="13" spans="1:5" x14ac:dyDescent="0.3">
      <c r="A13">
        <f t="shared" si="3"/>
        <v>1.9630000000000001</v>
      </c>
      <c r="B13">
        <f t="shared" si="0"/>
        <v>1.5684</v>
      </c>
      <c r="C13">
        <f t="shared" si="1"/>
        <v>-8.1234999999999999</v>
      </c>
      <c r="D13" s="5">
        <f t="shared" si="2"/>
        <v>3.5421999999999998</v>
      </c>
    </row>
    <row r="14" spans="1:5" x14ac:dyDescent="0.3">
      <c r="A14">
        <f t="shared" si="3"/>
        <v>2.1593</v>
      </c>
      <c r="B14">
        <f t="shared" si="0"/>
        <v>1.2706999999999999</v>
      </c>
      <c r="C14">
        <f t="shared" si="1"/>
        <v>-10.6195</v>
      </c>
      <c r="D14" s="5">
        <f t="shared" si="2"/>
        <v>3.1884000000000001</v>
      </c>
    </row>
    <row r="15" spans="1:5" x14ac:dyDescent="0.3">
      <c r="A15" s="3">
        <f t="shared" si="3"/>
        <v>2.3555999999999999</v>
      </c>
      <c r="B15" s="3">
        <f t="shared" si="0"/>
        <v>0.91949999999999998</v>
      </c>
      <c r="C15" s="3">
        <f t="shared" si="1"/>
        <v>-11.5</v>
      </c>
      <c r="D15" s="11">
        <f t="shared" si="2"/>
        <v>2.7122000000000002</v>
      </c>
      <c r="E15" t="s">
        <v>11</v>
      </c>
    </row>
    <row r="16" spans="1:5" x14ac:dyDescent="0.3">
      <c r="A16">
        <f t="shared" si="3"/>
        <v>2.5518999999999998</v>
      </c>
      <c r="B16">
        <f t="shared" si="0"/>
        <v>0.56799999999999995</v>
      </c>
      <c r="C16">
        <f t="shared" si="1"/>
        <v>-10.629899999999999</v>
      </c>
      <c r="D16" s="5">
        <f t="shared" si="2"/>
        <v>2.1316999999999999</v>
      </c>
    </row>
    <row r="17" spans="1:10" x14ac:dyDescent="0.3">
      <c r="A17">
        <f t="shared" si="3"/>
        <v>2.7482000000000002</v>
      </c>
      <c r="B17" s="7">
        <f t="shared" si="0"/>
        <v>0.26989999999999997</v>
      </c>
      <c r="C17" s="7">
        <f t="shared" si="1"/>
        <v>-8.1431000000000004</v>
      </c>
      <c r="D17" s="5">
        <f t="shared" si="2"/>
        <v>1.4694</v>
      </c>
    </row>
    <row r="18" spans="1:10" x14ac:dyDescent="0.3">
      <c r="A18">
        <f t="shared" si="3"/>
        <v>2.9445000000000001</v>
      </c>
      <c r="B18" s="7">
        <f t="shared" si="0"/>
        <v>7.0400000000000004E-2</v>
      </c>
      <c r="C18" s="7">
        <f t="shared" si="1"/>
        <v>-4.4156000000000004</v>
      </c>
      <c r="D18" s="5">
        <f t="shared" si="2"/>
        <v>0.75049999999999994</v>
      </c>
      <c r="H18" s="4" t="s">
        <v>5</v>
      </c>
      <c r="I18" s="4">
        <f>MAX(B3:B25)</f>
        <v>1.8367</v>
      </c>
      <c r="J18" s="4">
        <f>MAX(Table1[Range])</f>
        <v>11.4998</v>
      </c>
    </row>
    <row r="19" spans="1:10" x14ac:dyDescent="0.3">
      <c r="A19" s="8">
        <f t="shared" si="3"/>
        <v>3.1408</v>
      </c>
      <c r="B19" s="9">
        <f t="shared" si="0"/>
        <v>0</v>
      </c>
      <c r="C19" s="9">
        <f t="shared" si="1"/>
        <v>0</v>
      </c>
      <c r="D19" s="10">
        <f t="shared" si="2"/>
        <v>0</v>
      </c>
      <c r="E19" t="s">
        <v>10</v>
      </c>
      <c r="H19" s="4" t="s">
        <v>6</v>
      </c>
      <c r="I19" s="4">
        <f>MIN(B3:B11)</f>
        <v>0</v>
      </c>
      <c r="J19" s="4"/>
    </row>
    <row r="20" spans="1:10" x14ac:dyDescent="0.3">
      <c r="A20">
        <f t="shared" si="3"/>
        <v>3.3371</v>
      </c>
      <c r="B20" s="7">
        <f t="shared" si="0"/>
        <v>0</v>
      </c>
      <c r="C20" s="7">
        <f t="shared" si="1"/>
        <v>0</v>
      </c>
      <c r="D20" s="5">
        <f t="shared" si="2"/>
        <v>0</v>
      </c>
    </row>
    <row r="21" spans="1:10" x14ac:dyDescent="0.3">
      <c r="A21">
        <f t="shared" si="3"/>
        <v>3.5333999999999999</v>
      </c>
      <c r="B21" s="7">
        <f t="shared" si="0"/>
        <v>0</v>
      </c>
      <c r="C21" s="7">
        <f t="shared" si="1"/>
        <v>0</v>
      </c>
      <c r="D21" s="5">
        <f t="shared" si="2"/>
        <v>0</v>
      </c>
    </row>
    <row r="22" spans="1:10" x14ac:dyDescent="0.3">
      <c r="A22">
        <f t="shared" si="3"/>
        <v>3.7296999999999998</v>
      </c>
      <c r="B22" s="7">
        <f t="shared" si="0"/>
        <v>0</v>
      </c>
      <c r="C22" s="7">
        <f t="shared" si="1"/>
        <v>0</v>
      </c>
      <c r="D22" s="5">
        <f t="shared" si="2"/>
        <v>0</v>
      </c>
    </row>
    <row r="23" spans="1:10" x14ac:dyDescent="0.3">
      <c r="A23">
        <f t="shared" si="3"/>
        <v>3.9260000000000002</v>
      </c>
      <c r="B23" s="7">
        <f t="shared" si="0"/>
        <v>0</v>
      </c>
      <c r="C23" s="7">
        <f t="shared" si="1"/>
        <v>0</v>
      </c>
      <c r="D23" s="5">
        <f t="shared" si="2"/>
        <v>0</v>
      </c>
    </row>
    <row r="24" spans="1:10" x14ac:dyDescent="0.3">
      <c r="A24">
        <f t="shared" si="3"/>
        <v>4.1223000000000001</v>
      </c>
      <c r="B24" s="7">
        <f t="shared" si="0"/>
        <v>0</v>
      </c>
      <c r="C24" s="7">
        <f t="shared" si="1"/>
        <v>0</v>
      </c>
      <c r="D24" s="5">
        <f t="shared" si="2"/>
        <v>0</v>
      </c>
    </row>
    <row r="25" spans="1:10" x14ac:dyDescent="0.3">
      <c r="A25">
        <f t="shared" si="3"/>
        <v>4.3186</v>
      </c>
      <c r="B25" s="7">
        <f t="shared" si="0"/>
        <v>0</v>
      </c>
      <c r="C25" s="7">
        <f t="shared" si="1"/>
        <v>0</v>
      </c>
      <c r="D25" s="5">
        <f t="shared" si="2"/>
        <v>0</v>
      </c>
    </row>
  </sheetData>
  <mergeCells count="1">
    <mergeCell ref="A1:D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B1" sqref="B1"/>
    </sheetView>
  </sheetViews>
  <sheetFormatPr defaultRowHeight="14.4" x14ac:dyDescent="0.3"/>
  <sheetData>
    <row r="1" spans="1:1" x14ac:dyDescent="0.3">
      <c r="A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7"/>
  <sheetViews>
    <sheetView workbookViewId="0">
      <selection activeCell="B2" sqref="B2"/>
    </sheetView>
  </sheetViews>
  <sheetFormatPr defaultRowHeight="14.4" x14ac:dyDescent="0.3"/>
  <sheetData>
    <row r="1" spans="1:2" x14ac:dyDescent="0.3">
      <c r="A1" t="s">
        <v>0</v>
      </c>
    </row>
    <row r="2" spans="1:2" x14ac:dyDescent="0.3">
      <c r="A2" t="s">
        <v>1</v>
      </c>
      <c r="B2" t="s">
        <v>2</v>
      </c>
    </row>
    <row r="3" spans="1:2" x14ac:dyDescent="0.3">
      <c r="A3">
        <v>0</v>
      </c>
    </row>
    <row r="4" spans="1:2" x14ac:dyDescent="0.3">
      <c r="A4">
        <f>PI()/8 + A3</f>
        <v>0.39269908169872414</v>
      </c>
    </row>
    <row r="5" spans="1:2" x14ac:dyDescent="0.3">
      <c r="A5">
        <f>PI()/8 + A4</f>
        <v>0.78539816339744828</v>
      </c>
    </row>
    <row r="6" spans="1:2" x14ac:dyDescent="0.3">
      <c r="A6">
        <f>PI()/8 + A5</f>
        <v>1.1780972450961724</v>
      </c>
    </row>
    <row r="7" spans="1:2" x14ac:dyDescent="0.3">
      <c r="A7">
        <f>PI()/8 + A6</f>
        <v>1.5707963267948966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0A11ADCC6A04418F76BCDAE10D4DFA" ma:contentTypeVersion="0" ma:contentTypeDescription="Create a new document." ma:contentTypeScope="" ma:versionID="22a041e029de5fc652ed246cca3dce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9aba3f9c280d5516c880e04a85d908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E68E53D-B469-4C52-83A3-81E561CBCF5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0336DE2-168A-4AB4-93CB-07F7C8B218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796A31C-683E-443F-9A7C-B3811154816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1593CA6-062C-4004-BF5C-2702E820C3B9}">
  <ds:schemaRefs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Sheet3</vt:lpstr>
      <vt:lpstr>Sheet2</vt:lpstr>
      <vt:lpstr>Sheet1!Max_Height</vt:lpstr>
    </vt:vector>
  </TitlesOfParts>
  <Company>Belleville Schools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 </cp:lastModifiedBy>
  <dcterms:created xsi:type="dcterms:W3CDTF">2020-05-18T16:09:22Z</dcterms:created>
  <dcterms:modified xsi:type="dcterms:W3CDTF">2020-07-17T21:16:01Z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0x010100BD0A11ADCC6A04418F76BCDAE10D4DFA</vt:lpwstr>
  </property>
</Properties>
</file>